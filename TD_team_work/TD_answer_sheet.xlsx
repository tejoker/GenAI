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eam" sheetId="2" state="visible" r:id="rId4"/>
    <sheet name="Answers" sheetId="3" state="visible" r:id="rId5"/>
    <sheet name="Block D" sheetId="4" state="visible" r:id="rId6"/>
    <sheet name="Decision" sheetId="5" state="visible" r:id="rId7"/>
    <sheet name="Team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<sst xmlns="http://schemas.openxmlformats.org/spreadsheetml/2006/main" count="156" uniqueCount="122">
  <si>
    <t xml:space="preserve">Tutorials 1-2 - Phoenix autocall - Team answer sheet</t>
  </si>
  <si>
    <t xml:space="preserve">How to use this file</t>
  </si>
  <si>
    <t xml:space="preserve">1. Yellow cells are the only cells to fill in. Everything else is computed or fixed.</t>
  </si>
  <si>
    <t xml:space="preserve">2. Tab Team: choose your TD group and team number; your barriers Bc and Bp appear automatically (from tab Teams). Enter each member's last name and first name, and the Block D lead's email.</t>
  </si>
  <si>
    <t xml:space="preserve">3. Tab Answers: one row per number, for YOUR term sheet. Part 1 during TD 1 (kept by the team), part 2 during TD 2. Add rows if needed.</t>
  </si>
  <si>
    <t xml:space="preserve">4. Tab Block D: write the test plan (with the time) BEFORE receiving the module, then the results.</t>
  </si>
  <si>
    <t xml:space="preserve">5. Tab Decision: your validation decision and short answers (Section 7 Q28-Q36, D4-D5, Q42, Block D AI statement). AI tools are not allowed except to help write the Block D tests.</t>
  </si>
  <si>
    <t xml:space="preserve">6. Submit this file (renamed GROUP_TEAM.xlsx, e.g. IF2_T3.xlsx) and your notebook on Moodle one week after TD 2, 11:59 pm: IF3 Fri Oct 9, IF2 Thu Oct 22, IF1 Fri Oct 23 (by email to the instructor if Moodle is unavailable).</t>
  </si>
  <si>
    <t xml:space="preserve">Example of a filled row (format only; this number is not a graded answer)</t>
  </si>
  <si>
    <t xml:space="preserve">Question</t>
  </si>
  <si>
    <t xml:space="preserve">What to report</t>
  </si>
  <si>
    <t xml:space="preserve">Value(s)</t>
  </si>
  <si>
    <t xml:space="preserve">Paths</t>
  </si>
  <si>
    <t xml:space="preserve">Standard error</t>
  </si>
  <si>
    <t xml:space="preserve">Seed</t>
  </si>
  <si>
    <t xml:space="preserve">One-sentence reading</t>
  </si>
  <si>
    <t xml:space="preserve">§0 (example)</t>
  </si>
  <si>
    <t xml:space="preserve">3-year ATM implied volatility of the reference market (printed in §0; not a graded question)</t>
  </si>
  <si>
    <t xml:space="preserve">17.07%</t>
  </si>
  <si>
    <t xml:space="preserve">semi-analytic</t>
  </si>
  <si>
    <t xml:space="preserve">—</t>
  </si>
  <si>
    <t xml:space="preserve">Flat volatility used by model M1.</t>
  </si>
  <si>
    <t xml:space="preserve">Symbols in the subject: ● team (this file) - ◆ individual, mandatory (individual answer sheet TD_individual_answers.xlsx) - ○ optional.</t>
  </si>
  <si>
    <t xml:space="preserve">Your team</t>
  </si>
  <si>
    <t xml:space="preserve">TD group (IF1, IF2 or IF3)</t>
  </si>
  <si>
    <t xml:space="preserve">Team number (1 to 8)</t>
  </si>
  <si>
    <t xml:space="preserve">Coupon barrier Bc</t>
  </si>
  <si>
    <t xml:space="preserve">Set the same GROUP and TEAM in notebook §0</t>
  </si>
  <si>
    <t xml:space="preserve">Protection barrier Bp</t>
  </si>
  <si>
    <t xml:space="preserve">Members</t>
  </si>
  <si>
    <t xml:space="preserve">Last name</t>
  </si>
  <si>
    <t xml:space="preserve">First name</t>
  </si>
  <si>
    <t xml:space="preserve">Email</t>
  </si>
  <si>
    <t xml:space="preserve">Role (e.g. Block D lead)</t>
  </si>
  <si>
    <t xml:space="preserve">One row per member: last name and first name of each person in the team.</t>
  </si>
  <si>
    <t xml:space="preserve">Block D lead's email (the module is sent here)</t>
  </si>
  <si>
    <t xml:space="preserve">AI tools used for the Block D tests only (or 'none'); AI is not allowed elsewhere</t>
  </si>
  <si>
    <t xml:space="preserve">Part 1 - TD 1 (kept by the team, submitted with part 2)</t>
  </si>
  <si>
    <t xml:space="preserve">Q10</t>
  </si>
  <si>
    <t xml:space="preserve">Gap between M2 calls and market calls (vol points); object not constrained by (R4)</t>
  </si>
  <si>
    <t xml:space="preserve">Q11</t>
  </si>
  <si>
    <t xml:space="preserve">European-barrier put: M1, M2, M3 (% of notional); gaps M2-M3 and M1-M3</t>
  </si>
  <si>
    <t xml:space="preserve">Q12</t>
  </si>
  <si>
    <t xml:space="preserve">Break-even coupons M1, M2, M3 (% p.a.); M2-M3 gap (bp)</t>
  </si>
  <si>
    <t xml:space="preserve">Q13</t>
  </si>
  <si>
    <t xml:space="preserve">Payoff feature responsible; the two channels (annuities M2, M3)</t>
  </si>
  <si>
    <t xml:space="preserve">Q16</t>
  </si>
  <si>
    <t xml:space="preserve">Forward-smile slopes M2, M3 and spot-smile slope (vol points)</t>
  </si>
  <si>
    <t xml:space="preserve">Q14</t>
  </si>
  <si>
    <t xml:space="preserve">Coupons with the barrier observed at each close; change vs European; M2-M3 gap; calibration required</t>
  </si>
  <si>
    <t xml:space="preserve">Part 2 - TD 2</t>
  </si>
  <si>
    <t xml:space="preserve">Q18</t>
  </si>
  <si>
    <t xml:space="preserve">Vanillas reproduced (yes/no); bounds eta=0 vs M2 and eta=1 vs M3 (bp); coupon range over eta and its uncertainty</t>
  </si>
  <si>
    <t xml:space="preserve">Q22</t>
  </si>
  <si>
    <t xml:space="preserve">Hedging P&amp;L with M1, M2, M3 deltas: mean, standard deviation, 5% quantile</t>
  </si>
  <si>
    <t xml:space="preserve">Q23</t>
  </si>
  <si>
    <t xml:space="preserve">Which statistic measures a price error, which a greeks error</t>
  </si>
  <si>
    <t xml:space="preserve">Q24</t>
  </si>
  <si>
    <t xml:space="preserve">What dominates the residual risk; model risk or market incompleteness</t>
  </si>
  <si>
    <t xml:space="preserve">Q25</t>
  </si>
  <si>
    <t xml:space="preserve">Delta near Bp at t = 2.5, 2.9, 2.99, 2.999; value retained near maturity and why</t>
  </si>
  <si>
    <t xml:space="preserve">Q26</t>
  </si>
  <si>
    <t xml:space="preserve">Max delta vs epsilon; effect of epsilon on the coupon; prudent side of the shift</t>
  </si>
  <si>
    <t xml:space="preserve">D1-D2</t>
  </si>
  <si>
    <t xml:space="preserve">Plan handed in at (time); tests run; for each failure, the line responsible (details in tab Block D)</t>
  </si>
  <si>
    <t xml:space="preserve">Additional rows (optional questions or extra numbers)</t>
  </si>
  <si>
    <t xml:space="preserve">D1 - Test plan, written BEFORE receiving the module</t>
  </si>
  <si>
    <t xml:space="preserve">Time the plan was written:</t>
  </si>
  <si>
    <t xml:space="preserve">#</t>
  </si>
  <si>
    <t xml:space="preserve">Error class</t>
  </si>
  <si>
    <t xml:space="preserve">Test</t>
  </si>
  <si>
    <t xml:space="preserve">Expected result (justified without the module)</t>
  </si>
  <si>
    <t xml:space="preserve">D2-D3 - Results against the module</t>
  </si>
  <si>
    <t xml:space="preserve">Observed result</t>
  </si>
  <si>
    <t xml:space="preserve">Pass / fail</t>
  </si>
  <si>
    <t xml:space="preserve">Line responsible</t>
  </si>
  <si>
    <t xml:space="preserve">Fix applied</t>
  </si>
  <si>
    <t xml:space="preserve">Impact (bp of annual coupon, same draws)</t>
  </si>
  <si>
    <t xml:space="preserve">Break-even coupon announced by the module (% p.a.)</t>
  </si>
  <si>
    <t xml:space="preserve">Enter as a percentage, e.g. 5.84%</t>
  </si>
  <si>
    <t xml:space="preserve">Break-even coupon after all fixes (% p.a.)</t>
  </si>
  <si>
    <t xml:space="preserve">Total gap (bp)</t>
  </si>
  <si>
    <t xml:space="preserve">Item</t>
  </si>
  <si>
    <t xml:space="preserve">Team answer (short)</t>
  </si>
  <si>
    <t xml:space="preserve">Decision</t>
  </si>
  <si>
    <t xml:space="preserve">Model: approve, approve with conditions, or reject? Justify in five lines with your term sheet's numbers and their precision; what would change your decision?</t>
  </si>
  <si>
    <t xml:space="preserve">Block D pricer: approve, approve with conditions, or reject? Why?</t>
  </si>
  <si>
    <t xml:space="preserve">Eta</t>
  </si>
  <si>
    <t xml:space="preserve">Coupon range retained as eta spans [0, 1] (bp, with its uncertainty) and the principle used to set eta (Q36)</t>
  </si>
  <si>
    <t xml:space="preserve">Q28</t>
  </si>
  <si>
    <t xml:space="preserve">Front office / control (IPV) / prudent value table: key entries</t>
  </si>
  <si>
    <t xml:space="preserve">Q29</t>
  </si>
  <si>
    <t xml:space="preserve">Why IPV is not a reserve; what happens when a significant IPV difference is found</t>
  </si>
  <si>
    <t xml:space="preserve">Q30</t>
  </si>
  <si>
    <t xml:space="preserve">Fair value adjustment vs AVA: framework, target, where booked, no double counting</t>
  </si>
  <si>
    <t xml:space="preserve">Q31</t>
  </si>
  <si>
    <t xml:space="preserve">Classification of the uncertainties (kind, accounting adjustment, AVA category)</t>
  </si>
  <si>
    <t xml:space="preserve">Q32</t>
  </si>
  <si>
    <t xml:space="preserve">Barrier shift: should control validate the smoothed value? Which layer covers the remaining gap?</t>
  </si>
  <si>
    <t xml:space="preserve">Q33</t>
  </si>
  <si>
    <t xml:space="preserve">Local vol (front) vs M4 (control): effect on the accounting result, then on capital</t>
  </si>
  <si>
    <t xml:space="preserve">Q34</t>
  </si>
  <si>
    <t xml:space="preserve">Sold at 100, valued at 98, Level 3: what happens to the 2?</t>
  </si>
  <si>
    <t xml:space="preserve">Q35</t>
  </si>
  <si>
    <t xml:space="preserve">The central tension in one sentence; can it be settled?</t>
  </si>
  <si>
    <t xml:space="preserve">Q36</t>
  </si>
  <si>
    <t xml:space="preserve">Should the committee approve M4? Safeguards, principle for eta, layer of (R7)</t>
  </si>
  <si>
    <t xml:space="preserve">D4</t>
  </si>
  <si>
    <t xml:space="preserve">What did the assistant actually check? What should have been checked?</t>
  </si>
  <si>
    <t xml:space="preserve">D5</t>
  </si>
  <si>
    <t xml:space="preserve">Is the pricer a model under (R9)? Who validates it, which change category, how to avoid shadow IT?</t>
  </si>
  <si>
    <t xml:space="preserve">Q42</t>
  </si>
  <si>
    <t xml:space="preserve">The criterion for enriching a model, applied to (a), (b), (c)</t>
  </si>
  <si>
    <t xml:space="preserve">Block D AI</t>
  </si>
  <si>
    <t xml:space="preserve">Block D AI statement: AI tools used to write the Block D tests, if any, and what you checked yourselves (or 'none'). AI is not allowed for the other questions.</t>
  </si>
  <si>
    <t xml:space="preserve">Key</t>
  </si>
  <si>
    <t xml:space="preserve">Group</t>
  </si>
  <si>
    <t xml:space="preserve">Team</t>
  </si>
  <si>
    <t xml:space="preserve">IF1</t>
  </si>
  <si>
    <t xml:space="preserve">IF2</t>
  </si>
  <si>
    <t xml:space="preserve">IF3</t>
  </si>
  <si>
    <t xml:space="preserve">Source: instructor's team table (teams.json). Autocall barrier 100%, maturity 3 years, semi-annual observations, r = q = 2% for every team.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</si>
</sst>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%"/>
    <numFmt numFmtId="167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5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1" t="s">
        <v>8</v>
      </c>
    </row>
    <row r="12" customFormat="false" ht="15" hidden="false" customHeight="false" outlineLevel="0" collapsed="false">
      <c r="A12" s="3" t="s">
        <v>9</v>
      </c>
      <c r="B12" s="3" t="s">
        <v>10</v>
      </c>
      <c r="C12" s="3" t="s">
        <v>11</v>
      </c>
      <c r="D12" s="3" t="s">
        <v>12</v>
      </c>
      <c r="E12" s="3" t="s">
        <v>13</v>
      </c>
      <c r="F12" s="3" t="s">
        <v>14</v>
      </c>
      <c r="G12" s="3" t="s">
        <v>15</v>
      </c>
    </row>
    <row r="13" customFormat="false" ht="39.55" hidden="false" customHeight="false" outlineLevel="0" collapsed="false">
      <c r="A13" s="4" t="s">
        <v>16</v>
      </c>
      <c r="B13" s="4" t="s">
        <v>17</v>
      </c>
      <c r="C13" s="4" t="s">
        <v>18</v>
      </c>
      <c r="D13" s="4" t="s">
        <v>19</v>
      </c>
      <c r="E13" s="4" t="s">
        <v>20</v>
      </c>
      <c r="F13" s="4" t="s">
        <v>20</v>
      </c>
      <c r="G13" s="4" t="s">
        <v>21</v>
      </c>
    </row>
    <row r="15" customFormat="false" ht="15" hidden="false" customHeight="false" outlineLevel="0" collapsed="false">
      <c r="A15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26"/>
  </cols>
  <sheetData>
    <row r="1" customFormat="false" ht="15" hidden="false" customHeight="false" outlineLevel="0" collapsed="false">
      <c r="A1" s="6" t="s">
        <v>23</v>
      </c>
    </row>
    <row r="2" customFormat="false" ht="15" hidden="false" customHeight="false" outlineLevel="0" collapsed="false">
      <c r="A2" s="5" t="s">
        <v>24</v>
      </c>
      <c r="B2" s="7"/>
    </row>
    <row r="3" customFormat="false" ht="15" hidden="false" customHeight="false" outlineLevel="0" collapsed="false">
      <c r="A3" s="5" t="s">
        <v>25</v>
      </c>
      <c r="B3" s="7"/>
    </row>
    <row r="4" customFormat="false" ht="15" hidden="false" customHeight="false" outlineLevel="0" collapsed="false">
      <c r="A4" s="5" t="s">
        <v>26</v>
      </c>
      <c r="B4" s="8" t="str">
        <f aca="false">IFERROR(INDEX(Teams!$D$2:$D$25,MATCH($B$2&amp;"-"&amp;$B$3,Teams!$A$2:$A$25,0)),"choose group and team")</f>
        <v>choose group and team</v>
      </c>
      <c r="C4" s="9" t="s">
        <v>27</v>
      </c>
    </row>
    <row r="5" customFormat="false" ht="15" hidden="false" customHeight="false" outlineLevel="0" collapsed="false">
      <c r="A5" s="5" t="s">
        <v>28</v>
      </c>
      <c r="B5" s="8" t="str">
        <f aca="false">IFERROR(INDEX(Teams!$E$2:$E$25,MATCH($B$2&amp;"-"&amp;$B$3,Teams!$A$2:$A$25,0)),"choose group and team")</f>
        <v>choose group and team</v>
      </c>
    </row>
    <row r="7" customFormat="false" ht="15" hidden="false" customHeight="false" outlineLevel="0" collapsed="false">
      <c r="A7" s="6" t="s">
        <v>29</v>
      </c>
    </row>
    <row r="8" customFormat="false" ht="15" hidden="false" customHeight="false" outlineLevel="0" collapsed="false">
      <c r="A8" s="3" t="s">
        <v>30</v>
      </c>
      <c r="B8" s="3" t="s">
        <v>31</v>
      </c>
      <c r="C8" s="3" t="s">
        <v>32</v>
      </c>
      <c r="D8" s="3" t="s">
        <v>33</v>
      </c>
    </row>
    <row r="9" customFormat="false" ht="15" hidden="false" customHeight="false" outlineLevel="0" collapsed="false">
      <c r="A9" s="7"/>
      <c r="B9" s="7"/>
      <c r="C9" s="7"/>
      <c r="D9" s="7"/>
    </row>
    <row r="10" customFormat="false" ht="15" hidden="false" customHeight="false" outlineLevel="0" collapsed="false">
      <c r="A10" s="7"/>
      <c r="B10" s="7"/>
      <c r="C10" s="7"/>
      <c r="D10" s="7"/>
    </row>
    <row r="11" customFormat="false" ht="15" hidden="false" customHeight="false" outlineLevel="0" collapsed="false">
      <c r="A11" s="7"/>
      <c r="B11" s="7"/>
      <c r="C11" s="7"/>
      <c r="D11" s="7"/>
    </row>
    <row r="12" customFormat="false" ht="15" hidden="false" customHeight="false" outlineLevel="0" collapsed="false">
      <c r="A12" s="7"/>
      <c r="B12" s="7"/>
      <c r="C12" s="7"/>
      <c r="D12" s="7"/>
    </row>
    <row r="13" customFormat="false" ht="15" hidden="false" customHeight="false" outlineLevel="0" collapsed="false">
      <c r="A13" s="7"/>
      <c r="B13" s="7"/>
      <c r="C13" s="7"/>
      <c r="D13" s="7"/>
    </row>
    <row r="14" customFormat="false" ht="15" hidden="false" customHeight="false" outlineLevel="0" collapsed="false">
      <c r="A14" s="9" t="s">
        <v>34</v>
      </c>
    </row>
    <row r="15" customFormat="false" ht="26.85" hidden="false" customHeight="false" outlineLevel="0" collapsed="false">
      <c r="A15" s="10" t="s">
        <v>35</v>
      </c>
      <c r="B15" s="7"/>
      <c r="C15" s="7"/>
      <c r="D15" s="7"/>
    </row>
    <row r="17" customFormat="false" ht="45" hidden="false" customHeight="true" outlineLevel="0" collapsed="false">
      <c r="A17" s="10" t="s">
        <v>36</v>
      </c>
      <c r="B17" s="7"/>
      <c r="C17" s="7"/>
      <c r="D17" s="7"/>
    </row>
  </sheetData>
  <mergeCells count="2">
    <mergeCell ref="B15:D15"/>
    <mergeCell ref="B17:D17"/>
  </mergeCells>
  <dataValidations count="2">
    <dataValidation allowBlank="true" errorStyle="stop" operator="between" showDropDown="false" showErrorMessage="false" showInputMessage="false" sqref="B2" type="list">
      <formula1>"IF1,IF2,IF3"</formula1>
      <formula2>0</formula2>
    </dataValidation>
    <dataValidation allowBlank="true" errorStyle="stop" operator="between" showDropDown="false" showErrorMessage="false" showInputMessage="false" sqref="B3" type="whole">
      <formula1>1</formula1>
      <formula2>8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3" min="3" style="0" width="28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8"/>
    <col collapsed="false" customWidth="true" hidden="false" outlineLevel="0" max="7" min="7" style="0" width="52"/>
    <col collapsed="false" customWidth="true" hidden="false" outlineLevel="0" max="8" min="8" style="0" width="26"/>
  </cols>
  <sheetData>
    <row r="1" customFormat="false" ht="15" hidden="false" customHeight="false" outlineLevel="0" collapsed="false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6" t="str">
        <f aca="false">"TD group "&amp;Team!$B$2&amp;" - Team "&amp;Team!$B$3</f>
        <v>TD group  - Team </v>
      </c>
    </row>
    <row r="2" customFormat="false" ht="15" hidden="false" customHeight="false" outlineLevel="0" collapsed="false">
      <c r="A2" s="11" t="s">
        <v>37</v>
      </c>
      <c r="B2" s="11"/>
      <c r="C2" s="11"/>
      <c r="D2" s="11"/>
      <c r="E2" s="11"/>
      <c r="F2" s="11"/>
      <c r="G2" s="11"/>
    </row>
    <row r="3" customFormat="false" ht="42" hidden="false" customHeight="true" outlineLevel="0" collapsed="false">
      <c r="A3" s="12" t="s">
        <v>38</v>
      </c>
      <c r="B3" s="13" t="s">
        <v>39</v>
      </c>
      <c r="C3" s="7"/>
      <c r="D3" s="7"/>
      <c r="E3" s="7"/>
      <c r="F3" s="7"/>
      <c r="G3" s="7"/>
    </row>
    <row r="4" customFormat="false" ht="42" hidden="false" customHeight="true" outlineLevel="0" collapsed="false">
      <c r="A4" s="12" t="s">
        <v>40</v>
      </c>
      <c r="B4" s="13" t="s">
        <v>41</v>
      </c>
      <c r="C4" s="7"/>
      <c r="D4" s="7"/>
      <c r="E4" s="7"/>
      <c r="F4" s="7"/>
      <c r="G4" s="7"/>
    </row>
    <row r="5" customFormat="false" ht="42" hidden="false" customHeight="true" outlineLevel="0" collapsed="false">
      <c r="A5" s="12" t="s">
        <v>42</v>
      </c>
      <c r="B5" s="13" t="s">
        <v>43</v>
      </c>
      <c r="C5" s="7"/>
      <c r="D5" s="7"/>
      <c r="E5" s="7"/>
      <c r="F5" s="7"/>
      <c r="G5" s="7"/>
    </row>
    <row r="6" customFormat="false" ht="42" hidden="false" customHeight="true" outlineLevel="0" collapsed="false">
      <c r="A6" s="12" t="s">
        <v>44</v>
      </c>
      <c r="B6" s="13" t="s">
        <v>45</v>
      </c>
      <c r="C6" s="7"/>
      <c r="D6" s="7"/>
      <c r="E6" s="7"/>
      <c r="F6" s="7"/>
      <c r="G6" s="7"/>
    </row>
    <row r="7" customFormat="false" ht="42" hidden="false" customHeight="true" outlineLevel="0" collapsed="false">
      <c r="A7" s="12" t="s">
        <v>46</v>
      </c>
      <c r="B7" s="13" t="s">
        <v>47</v>
      </c>
      <c r="C7" s="7"/>
      <c r="D7" s="7"/>
      <c r="E7" s="7"/>
      <c r="F7" s="7"/>
      <c r="G7" s="7"/>
    </row>
    <row r="8" customFormat="false" ht="42" hidden="false" customHeight="true" outlineLevel="0" collapsed="false">
      <c r="A8" s="12" t="s">
        <v>48</v>
      </c>
      <c r="B8" s="13" t="s">
        <v>49</v>
      </c>
      <c r="C8" s="7"/>
      <c r="D8" s="7"/>
      <c r="E8" s="7"/>
      <c r="F8" s="7"/>
      <c r="G8" s="7"/>
    </row>
    <row r="9" customFormat="false" ht="15" hidden="false" customHeight="false" outlineLevel="0" collapsed="false">
      <c r="A9" s="11" t="s">
        <v>50</v>
      </c>
      <c r="B9" s="11"/>
      <c r="C9" s="11"/>
      <c r="D9" s="11"/>
      <c r="E9" s="11"/>
      <c r="F9" s="11"/>
      <c r="G9" s="11"/>
    </row>
    <row r="10" customFormat="false" ht="42" hidden="false" customHeight="true" outlineLevel="0" collapsed="false">
      <c r="A10" s="12" t="s">
        <v>51</v>
      </c>
      <c r="B10" s="13" t="s">
        <v>52</v>
      </c>
      <c r="C10" s="7"/>
      <c r="D10" s="7"/>
      <c r="E10" s="7"/>
      <c r="F10" s="7"/>
      <c r="G10" s="7"/>
    </row>
    <row r="11" customFormat="false" ht="42" hidden="false" customHeight="true" outlineLevel="0" collapsed="false">
      <c r="A11" s="12" t="s">
        <v>53</v>
      </c>
      <c r="B11" s="13" t="s">
        <v>54</v>
      </c>
      <c r="C11" s="7"/>
      <c r="D11" s="7"/>
      <c r="E11" s="7"/>
      <c r="F11" s="7"/>
      <c r="G11" s="7"/>
    </row>
    <row r="12" customFormat="false" ht="42" hidden="false" customHeight="true" outlineLevel="0" collapsed="false">
      <c r="A12" s="12" t="s">
        <v>55</v>
      </c>
      <c r="B12" s="13" t="s">
        <v>56</v>
      </c>
      <c r="C12" s="7"/>
      <c r="D12" s="7"/>
      <c r="E12" s="7"/>
      <c r="F12" s="7"/>
      <c r="G12" s="7"/>
    </row>
    <row r="13" customFormat="false" ht="42" hidden="false" customHeight="true" outlineLevel="0" collapsed="false">
      <c r="A13" s="12" t="s">
        <v>57</v>
      </c>
      <c r="B13" s="13" t="s">
        <v>58</v>
      </c>
      <c r="C13" s="7"/>
      <c r="D13" s="7"/>
      <c r="E13" s="7"/>
      <c r="F13" s="7"/>
      <c r="G13" s="7"/>
    </row>
    <row r="14" customFormat="false" ht="42" hidden="false" customHeight="true" outlineLevel="0" collapsed="false">
      <c r="A14" s="12" t="s">
        <v>59</v>
      </c>
      <c r="B14" s="13" t="s">
        <v>60</v>
      </c>
      <c r="C14" s="7"/>
      <c r="D14" s="7"/>
      <c r="E14" s="7"/>
      <c r="F14" s="7"/>
      <c r="G14" s="7"/>
    </row>
    <row r="15" customFormat="false" ht="42" hidden="false" customHeight="true" outlineLevel="0" collapsed="false">
      <c r="A15" s="12" t="s">
        <v>61</v>
      </c>
      <c r="B15" s="13" t="s">
        <v>62</v>
      </c>
      <c r="C15" s="7"/>
      <c r="D15" s="7"/>
      <c r="E15" s="7"/>
      <c r="F15" s="7"/>
      <c r="G15" s="7"/>
    </row>
    <row r="16" customFormat="false" ht="42" hidden="false" customHeight="true" outlineLevel="0" collapsed="false">
      <c r="A16" s="12" t="s">
        <v>63</v>
      </c>
      <c r="B16" s="13" t="s">
        <v>64</v>
      </c>
      <c r="C16" s="7"/>
      <c r="D16" s="7"/>
      <c r="E16" s="7"/>
      <c r="F16" s="7"/>
      <c r="G16" s="7"/>
    </row>
    <row r="17" customFormat="false" ht="15" hidden="false" customHeight="false" outlineLevel="0" collapsed="false">
      <c r="A17" s="11" t="s">
        <v>65</v>
      </c>
      <c r="B17" s="11"/>
      <c r="C17" s="11"/>
      <c r="D17" s="11"/>
      <c r="E17" s="11"/>
      <c r="F17" s="11"/>
      <c r="G17" s="11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</row>
  </sheetData>
  <mergeCells count="3">
    <mergeCell ref="A2:G2"/>
    <mergeCell ref="A9:G9"/>
    <mergeCell ref="A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6"/>
    <col collapsed="false" customWidth="true" hidden="false" outlineLevel="0" max="4" min="4" style="0" width="52"/>
    <col collapsed="false" customWidth="true" hidden="false" outlineLevel="0" max="5" min="5" style="0" width="36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6" t="s">
        <v>66</v>
      </c>
    </row>
    <row r="2" customFormat="false" ht="15" hidden="false" customHeight="false" outlineLevel="0" collapsed="false">
      <c r="A2" s="5" t="s">
        <v>67</v>
      </c>
      <c r="B2" s="7"/>
    </row>
    <row r="4" customFormat="false" ht="15" hidden="false" customHeight="false" outlineLevel="0" collapsed="false">
      <c r="A4" s="3" t="s">
        <v>68</v>
      </c>
      <c r="B4" s="3" t="s">
        <v>69</v>
      </c>
      <c r="C4" s="3" t="s">
        <v>70</v>
      </c>
      <c r="D4" s="3" t="s">
        <v>71</v>
      </c>
    </row>
    <row r="5" customFormat="false" ht="36" hidden="false" customHeight="true" outlineLevel="0" collapsed="false">
      <c r="A5" s="14" t="n">
        <v>1</v>
      </c>
      <c r="B5" s="7"/>
      <c r="C5" s="7"/>
      <c r="D5" s="7"/>
    </row>
    <row r="6" customFormat="false" ht="36" hidden="false" customHeight="true" outlineLevel="0" collapsed="false">
      <c r="A6" s="14" t="n">
        <v>2</v>
      </c>
      <c r="B6" s="7"/>
      <c r="C6" s="7"/>
      <c r="D6" s="7"/>
    </row>
    <row r="7" customFormat="false" ht="36" hidden="false" customHeight="true" outlineLevel="0" collapsed="false">
      <c r="A7" s="14" t="n">
        <v>3</v>
      </c>
      <c r="B7" s="7"/>
      <c r="C7" s="7"/>
      <c r="D7" s="7"/>
    </row>
    <row r="8" customFormat="false" ht="36" hidden="false" customHeight="true" outlineLevel="0" collapsed="false">
      <c r="A8" s="14" t="n">
        <v>4</v>
      </c>
      <c r="B8" s="7"/>
      <c r="C8" s="7"/>
      <c r="D8" s="7"/>
    </row>
    <row r="9" customFormat="false" ht="36" hidden="false" customHeight="true" outlineLevel="0" collapsed="false">
      <c r="A9" s="14" t="n">
        <v>5</v>
      </c>
      <c r="B9" s="7"/>
      <c r="C9" s="7"/>
      <c r="D9" s="7"/>
    </row>
    <row r="10" customFormat="false" ht="36" hidden="false" customHeight="true" outlineLevel="0" collapsed="false">
      <c r="A10" s="14" t="n">
        <v>6</v>
      </c>
      <c r="B10" s="7"/>
      <c r="C10" s="7"/>
      <c r="D10" s="7"/>
    </row>
    <row r="11" customFormat="false" ht="36" hidden="false" customHeight="true" outlineLevel="0" collapsed="false">
      <c r="A11" s="14" t="n">
        <v>7</v>
      </c>
      <c r="B11" s="7"/>
      <c r="C11" s="7"/>
      <c r="D11" s="7"/>
    </row>
    <row r="12" customFormat="false" ht="36" hidden="false" customHeight="true" outlineLevel="0" collapsed="false">
      <c r="A12" s="14" t="n">
        <v>8</v>
      </c>
      <c r="B12" s="7"/>
      <c r="C12" s="7"/>
      <c r="D12" s="7"/>
    </row>
    <row r="15" customFormat="false" ht="15" hidden="false" customHeight="false" outlineLevel="0" collapsed="false">
      <c r="A15" s="6" t="s">
        <v>72</v>
      </c>
    </row>
    <row r="16" customFormat="false" ht="26.85" hidden="false" customHeight="false" outlineLevel="0" collapsed="false">
      <c r="A16" s="3" t="s">
        <v>68</v>
      </c>
      <c r="B16" s="3" t="s">
        <v>73</v>
      </c>
      <c r="C16" s="3" t="s">
        <v>74</v>
      </c>
      <c r="D16" s="3" t="s">
        <v>75</v>
      </c>
      <c r="E16" s="3" t="s">
        <v>76</v>
      </c>
      <c r="F16" s="3" t="s">
        <v>77</v>
      </c>
    </row>
    <row r="17" customFormat="false" ht="36" hidden="false" customHeight="true" outlineLevel="0" collapsed="false">
      <c r="A17" s="14" t="n">
        <v>1</v>
      </c>
      <c r="B17" s="7"/>
      <c r="C17" s="7"/>
      <c r="D17" s="7"/>
      <c r="E17" s="7"/>
      <c r="F17" s="7"/>
    </row>
    <row r="18" customFormat="false" ht="36" hidden="false" customHeight="true" outlineLevel="0" collapsed="false">
      <c r="A18" s="14" t="n">
        <v>2</v>
      </c>
      <c r="B18" s="7"/>
      <c r="C18" s="7"/>
      <c r="D18" s="7"/>
      <c r="E18" s="7"/>
      <c r="F18" s="7"/>
    </row>
    <row r="19" customFormat="false" ht="36" hidden="false" customHeight="true" outlineLevel="0" collapsed="false">
      <c r="A19" s="14" t="n">
        <v>3</v>
      </c>
      <c r="B19" s="7"/>
      <c r="C19" s="7"/>
      <c r="D19" s="7"/>
      <c r="E19" s="7"/>
      <c r="F19" s="7"/>
    </row>
    <row r="20" customFormat="false" ht="36" hidden="false" customHeight="true" outlineLevel="0" collapsed="false">
      <c r="A20" s="14" t="n">
        <v>4</v>
      </c>
      <c r="B20" s="7"/>
      <c r="C20" s="7"/>
      <c r="D20" s="7"/>
      <c r="E20" s="7"/>
      <c r="F20" s="7"/>
    </row>
    <row r="21" customFormat="false" ht="36" hidden="false" customHeight="true" outlineLevel="0" collapsed="false">
      <c r="A21" s="14" t="n">
        <v>5</v>
      </c>
      <c r="B21" s="7"/>
      <c r="C21" s="7"/>
      <c r="D21" s="7"/>
      <c r="E21" s="7"/>
      <c r="F21" s="7"/>
    </row>
    <row r="22" customFormat="false" ht="36" hidden="false" customHeight="true" outlineLevel="0" collapsed="false">
      <c r="A22" s="14" t="n">
        <v>6</v>
      </c>
      <c r="B22" s="7"/>
      <c r="C22" s="7"/>
      <c r="D22" s="7"/>
      <c r="E22" s="7"/>
      <c r="F22" s="7"/>
    </row>
    <row r="23" customFormat="false" ht="36" hidden="false" customHeight="true" outlineLevel="0" collapsed="false">
      <c r="A23" s="14" t="n">
        <v>7</v>
      </c>
      <c r="B23" s="7"/>
      <c r="C23" s="7"/>
      <c r="D23" s="7"/>
      <c r="E23" s="7"/>
      <c r="F23" s="7"/>
    </row>
    <row r="24" customFormat="false" ht="36" hidden="false" customHeight="true" outlineLevel="0" collapsed="false">
      <c r="A24" s="14" t="n">
        <v>8</v>
      </c>
      <c r="B24" s="7"/>
      <c r="C24" s="7"/>
      <c r="D24" s="7"/>
      <c r="E24" s="7"/>
      <c r="F24" s="7"/>
    </row>
    <row r="26" customFormat="false" ht="15" hidden="false" customHeight="false" outlineLevel="0" collapsed="false">
      <c r="A26" s="5" t="s">
        <v>78</v>
      </c>
      <c r="D26" s="15"/>
      <c r="E26" s="9" t="s">
        <v>79</v>
      </c>
    </row>
    <row r="27" customFormat="false" ht="15" hidden="false" customHeight="false" outlineLevel="0" collapsed="false">
      <c r="A27" s="5" t="s">
        <v>80</v>
      </c>
      <c r="D27" s="15"/>
    </row>
    <row r="28" customFormat="false" ht="15" hidden="false" customHeight="false" outlineLevel="0" collapsed="false">
      <c r="A28" s="5" t="s">
        <v>81</v>
      </c>
      <c r="D28" s="16" t="str">
        <f aca="false">IF(AND(ISNUMBER(D26),ISNUMBER(D27)),(D26-D27)*10000,"")</f>
        <v/>
      </c>
    </row>
  </sheetData>
  <dataValidations count="2">
    <dataValidation allowBlank="true" errorStyle="stop" operator="between" showDropDown="false" showErrorMessage="false" showInputMessage="false" sqref="B5:B12" type="list">
      <formula1>"numerical scheme,market data,payoff logic,term-sheet reading,greeks"</formula1>
      <formula2>0</formula2>
    </dataValidation>
    <dataValidation allowBlank="true" errorStyle="stop" operator="between" showDropDown="false" showErrorMessage="false" showInputMessage="false" sqref="C17:C24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80"/>
    <col collapsed="false" customWidth="true" hidden="false" outlineLevel="0" max="4" min="4" style="0" width="26"/>
  </cols>
  <sheetData>
    <row r="1" customFormat="false" ht="15" hidden="false" customHeight="false" outlineLevel="0" collapsed="false">
      <c r="A1" s="3" t="s">
        <v>82</v>
      </c>
      <c r="B1" s="3" t="s">
        <v>9</v>
      </c>
      <c r="C1" s="3" t="s">
        <v>83</v>
      </c>
      <c r="D1" s="6" t="str">
        <f aca="false">"TD group "&amp;Team!$B$2&amp;" - Team "&amp;Team!$B$3</f>
        <v>TD group  - Team </v>
      </c>
    </row>
    <row r="2" customFormat="false" ht="75" hidden="false" customHeight="true" outlineLevel="0" collapsed="false">
      <c r="A2" s="12" t="s">
        <v>84</v>
      </c>
      <c r="B2" s="13" t="s">
        <v>85</v>
      </c>
      <c r="C2" s="7"/>
    </row>
    <row r="3" customFormat="false" ht="75" hidden="false" customHeight="true" outlineLevel="0" collapsed="false">
      <c r="A3" s="12" t="s">
        <v>84</v>
      </c>
      <c r="B3" s="13" t="s">
        <v>86</v>
      </c>
      <c r="C3" s="7"/>
    </row>
    <row r="4" customFormat="false" ht="75" hidden="false" customHeight="true" outlineLevel="0" collapsed="false">
      <c r="A4" s="12" t="s">
        <v>87</v>
      </c>
      <c r="B4" s="13" t="s">
        <v>88</v>
      </c>
      <c r="C4" s="7"/>
    </row>
    <row r="5" customFormat="false" ht="75" hidden="false" customHeight="true" outlineLevel="0" collapsed="false">
      <c r="A5" s="12" t="s">
        <v>89</v>
      </c>
      <c r="B5" s="13" t="s">
        <v>90</v>
      </c>
      <c r="C5" s="7"/>
    </row>
    <row r="6" customFormat="false" ht="75" hidden="false" customHeight="true" outlineLevel="0" collapsed="false">
      <c r="A6" s="12" t="s">
        <v>91</v>
      </c>
      <c r="B6" s="13" t="s">
        <v>92</v>
      </c>
      <c r="C6" s="7"/>
    </row>
    <row r="7" customFormat="false" ht="75" hidden="false" customHeight="true" outlineLevel="0" collapsed="false">
      <c r="A7" s="12" t="s">
        <v>93</v>
      </c>
      <c r="B7" s="13" t="s">
        <v>94</v>
      </c>
      <c r="C7" s="7"/>
    </row>
    <row r="8" customFormat="false" ht="75" hidden="false" customHeight="true" outlineLevel="0" collapsed="false">
      <c r="A8" s="12" t="s">
        <v>95</v>
      </c>
      <c r="B8" s="13" t="s">
        <v>96</v>
      </c>
      <c r="C8" s="7"/>
    </row>
    <row r="9" customFormat="false" ht="75" hidden="false" customHeight="true" outlineLevel="0" collapsed="false">
      <c r="A9" s="12" t="s">
        <v>97</v>
      </c>
      <c r="B9" s="13" t="s">
        <v>98</v>
      </c>
      <c r="C9" s="7"/>
    </row>
    <row r="10" customFormat="false" ht="75" hidden="false" customHeight="true" outlineLevel="0" collapsed="false">
      <c r="A10" s="12" t="s">
        <v>99</v>
      </c>
      <c r="B10" s="13" t="s">
        <v>100</v>
      </c>
      <c r="C10" s="7"/>
    </row>
    <row r="11" customFormat="false" ht="75" hidden="false" customHeight="true" outlineLevel="0" collapsed="false">
      <c r="A11" s="12" t="s">
        <v>101</v>
      </c>
      <c r="B11" s="13" t="s">
        <v>102</v>
      </c>
      <c r="C11" s="7"/>
    </row>
    <row r="12" customFormat="false" ht="75" hidden="false" customHeight="true" outlineLevel="0" collapsed="false">
      <c r="A12" s="12" t="s">
        <v>103</v>
      </c>
      <c r="B12" s="13" t="s">
        <v>104</v>
      </c>
      <c r="C12" s="7"/>
    </row>
    <row r="13" customFormat="false" ht="75" hidden="false" customHeight="true" outlineLevel="0" collapsed="false">
      <c r="A13" s="12" t="s">
        <v>105</v>
      </c>
      <c r="B13" s="13" t="s">
        <v>106</v>
      </c>
      <c r="C13" s="7"/>
    </row>
    <row r="14" customFormat="false" ht="75" hidden="false" customHeight="true" outlineLevel="0" collapsed="false">
      <c r="A14" s="12" t="s">
        <v>107</v>
      </c>
      <c r="B14" s="13" t="s">
        <v>108</v>
      </c>
      <c r="C14" s="7"/>
    </row>
    <row r="15" customFormat="false" ht="75" hidden="false" customHeight="true" outlineLevel="0" collapsed="false">
      <c r="A15" s="12" t="s">
        <v>109</v>
      </c>
      <c r="B15" s="13" t="s">
        <v>110</v>
      </c>
      <c r="C15" s="7"/>
    </row>
    <row r="16" customFormat="false" ht="75" hidden="false" customHeight="true" outlineLevel="0" collapsed="false">
      <c r="A16" s="12" t="s">
        <v>111</v>
      </c>
      <c r="B16" s="13" t="s">
        <v>112</v>
      </c>
      <c r="C16" s="7"/>
    </row>
    <row r="17" customFormat="false" ht="75" hidden="false" customHeight="true" outlineLevel="0" collapsed="false">
      <c r="A17" s="12" t="s">
        <v>113</v>
      </c>
      <c r="B17" s="13" t="s">
        <v>114</v>
      </c>
      <c r="C1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3" t="s">
        <v>115</v>
      </c>
      <c r="B1" s="3" t="s">
        <v>116</v>
      </c>
      <c r="C1" s="3" t="s">
        <v>117</v>
      </c>
      <c r="D1" s="3" t="s">
        <v>26</v>
      </c>
      <c r="E1" s="3" t="s">
        <v>28</v>
      </c>
    </row>
    <row r="2" customFormat="false" ht="15" hidden="false" customHeight="false" outlineLevel="0" collapsed="false">
      <c r="A2" s="14" t="str">
        <f aca="false">B2&amp;"-"&amp;C2</f>
        <v>IF1-1</v>
      </c>
      <c r="B2" s="14" t="s">
        <v>118</v>
      </c>
      <c r="C2" s="14" t="n">
        <v>1</v>
      </c>
      <c r="D2" s="17" t="n">
        <v>0.65</v>
      </c>
      <c r="E2" s="17" t="n">
        <v>0.55</v>
      </c>
    </row>
    <row r="3" customFormat="false" ht="15" hidden="false" customHeight="false" outlineLevel="0" collapsed="false">
      <c r="A3" s="14" t="str">
        <f aca="false">B3&amp;"-"&amp;C3</f>
        <v>IF1-2</v>
      </c>
      <c r="B3" s="14" t="s">
        <v>118</v>
      </c>
      <c r="C3" s="14" t="n">
        <v>2</v>
      </c>
      <c r="D3" s="17" t="n">
        <v>0.7</v>
      </c>
      <c r="E3" s="17" t="n">
        <v>0.65</v>
      </c>
    </row>
    <row r="4" customFormat="false" ht="15" hidden="false" customHeight="false" outlineLevel="0" collapsed="false">
      <c r="A4" s="14" t="str">
        <f aca="false">B4&amp;"-"&amp;C4</f>
        <v>IF1-3</v>
      </c>
      <c r="B4" s="14" t="s">
        <v>118</v>
      </c>
      <c r="C4" s="14" t="n">
        <v>3</v>
      </c>
      <c r="D4" s="17" t="n">
        <v>0.75</v>
      </c>
      <c r="E4" s="17" t="n">
        <v>0.5</v>
      </c>
    </row>
    <row r="5" customFormat="false" ht="15" hidden="false" customHeight="false" outlineLevel="0" collapsed="false">
      <c r="A5" s="14" t="str">
        <f aca="false">B5&amp;"-"&amp;C5</f>
        <v>IF1-4</v>
      </c>
      <c r="B5" s="14" t="s">
        <v>118</v>
      </c>
      <c r="C5" s="14" t="n">
        <v>4</v>
      </c>
      <c r="D5" s="17" t="n">
        <v>0.65</v>
      </c>
      <c r="E5" s="17" t="n">
        <v>0.65</v>
      </c>
    </row>
    <row r="6" customFormat="false" ht="15" hidden="false" customHeight="false" outlineLevel="0" collapsed="false">
      <c r="A6" s="14" t="str">
        <f aca="false">B6&amp;"-"&amp;C6</f>
        <v>IF1-5</v>
      </c>
      <c r="B6" s="14" t="s">
        <v>118</v>
      </c>
      <c r="C6" s="14" t="n">
        <v>5</v>
      </c>
      <c r="D6" s="17" t="n">
        <v>0.7</v>
      </c>
      <c r="E6" s="17" t="n">
        <v>0.5</v>
      </c>
    </row>
    <row r="7" customFormat="false" ht="15" hidden="false" customHeight="false" outlineLevel="0" collapsed="false">
      <c r="A7" s="14" t="str">
        <f aca="false">B7&amp;"-"&amp;C7</f>
        <v>IF1-6</v>
      </c>
      <c r="B7" s="14" t="s">
        <v>118</v>
      </c>
      <c r="C7" s="14" t="n">
        <v>6</v>
      </c>
      <c r="D7" s="17" t="n">
        <v>0.75</v>
      </c>
      <c r="E7" s="17" t="n">
        <v>0.55</v>
      </c>
    </row>
    <row r="8" customFormat="false" ht="15" hidden="false" customHeight="false" outlineLevel="0" collapsed="false">
      <c r="A8" s="14" t="str">
        <f aca="false">B8&amp;"-"&amp;C8</f>
        <v>IF1-7</v>
      </c>
      <c r="B8" s="14" t="s">
        <v>118</v>
      </c>
      <c r="C8" s="14" t="n">
        <v>7</v>
      </c>
      <c r="D8" s="17" t="n">
        <v>0.65</v>
      </c>
      <c r="E8" s="17" t="n">
        <v>0.5</v>
      </c>
    </row>
    <row r="9" customFormat="false" ht="15" hidden="false" customHeight="false" outlineLevel="0" collapsed="false">
      <c r="A9" s="14" t="str">
        <f aca="false">B9&amp;"-"&amp;C9</f>
        <v>IF1-8</v>
      </c>
      <c r="B9" s="14" t="s">
        <v>118</v>
      </c>
      <c r="C9" s="14" t="n">
        <v>8</v>
      </c>
      <c r="D9" s="17" t="n">
        <v>0.75</v>
      </c>
      <c r="E9" s="17" t="n">
        <v>0.65</v>
      </c>
    </row>
    <row r="10" customFormat="false" ht="15" hidden="false" customHeight="false" outlineLevel="0" collapsed="false">
      <c r="A10" s="14" t="str">
        <f aca="false">B10&amp;"-"&amp;C10</f>
        <v>IF2-1</v>
      </c>
      <c r="B10" s="14" t="s">
        <v>119</v>
      </c>
      <c r="C10" s="14" t="n">
        <v>1</v>
      </c>
      <c r="D10" s="17" t="n">
        <v>0.65</v>
      </c>
      <c r="E10" s="17" t="n">
        <v>0.65</v>
      </c>
    </row>
    <row r="11" customFormat="false" ht="15" hidden="false" customHeight="false" outlineLevel="0" collapsed="false">
      <c r="A11" s="14" t="str">
        <f aca="false">B11&amp;"-"&amp;C11</f>
        <v>IF2-2</v>
      </c>
      <c r="B11" s="14" t="s">
        <v>119</v>
      </c>
      <c r="C11" s="14" t="n">
        <v>2</v>
      </c>
      <c r="D11" s="17" t="n">
        <v>0.7</v>
      </c>
      <c r="E11" s="17" t="n">
        <v>0.5</v>
      </c>
    </row>
    <row r="12" customFormat="false" ht="15" hidden="false" customHeight="false" outlineLevel="0" collapsed="false">
      <c r="A12" s="14" t="str">
        <f aca="false">B12&amp;"-"&amp;C12</f>
        <v>IF2-3</v>
      </c>
      <c r="B12" s="14" t="s">
        <v>119</v>
      </c>
      <c r="C12" s="14" t="n">
        <v>3</v>
      </c>
      <c r="D12" s="17" t="n">
        <v>0.75</v>
      </c>
      <c r="E12" s="17" t="n">
        <v>0.55</v>
      </c>
    </row>
    <row r="13" customFormat="false" ht="15" hidden="false" customHeight="false" outlineLevel="0" collapsed="false">
      <c r="A13" s="14" t="str">
        <f aca="false">B13&amp;"-"&amp;C13</f>
        <v>IF2-4</v>
      </c>
      <c r="B13" s="14" t="s">
        <v>119</v>
      </c>
      <c r="C13" s="14" t="n">
        <v>4</v>
      </c>
      <c r="D13" s="17" t="n">
        <v>0.65</v>
      </c>
      <c r="E13" s="17" t="n">
        <v>0.5</v>
      </c>
    </row>
    <row r="14" customFormat="false" ht="15" hidden="false" customHeight="false" outlineLevel="0" collapsed="false">
      <c r="A14" s="14" t="str">
        <f aca="false">B14&amp;"-"&amp;C14</f>
        <v>IF2-5</v>
      </c>
      <c r="B14" s="14" t="s">
        <v>119</v>
      </c>
      <c r="C14" s="14" t="n">
        <v>5</v>
      </c>
      <c r="D14" s="17" t="n">
        <v>0.7</v>
      </c>
      <c r="E14" s="17" t="n">
        <v>0.55</v>
      </c>
    </row>
    <row r="15" customFormat="false" ht="15" hidden="false" customHeight="false" outlineLevel="0" collapsed="false">
      <c r="A15" s="14" t="str">
        <f aca="false">B15&amp;"-"&amp;C15</f>
        <v>IF2-6</v>
      </c>
      <c r="B15" s="14" t="s">
        <v>119</v>
      </c>
      <c r="C15" s="14" t="n">
        <v>6</v>
      </c>
      <c r="D15" s="17" t="n">
        <v>0.75</v>
      </c>
      <c r="E15" s="17" t="n">
        <v>0.65</v>
      </c>
    </row>
    <row r="16" customFormat="false" ht="15" hidden="false" customHeight="false" outlineLevel="0" collapsed="false">
      <c r="A16" s="14" t="str">
        <f aca="false">B16&amp;"-"&amp;C16</f>
        <v>IF2-7</v>
      </c>
      <c r="B16" s="14" t="s">
        <v>119</v>
      </c>
      <c r="C16" s="14" t="n">
        <v>7</v>
      </c>
      <c r="D16" s="17" t="n">
        <v>0.65</v>
      </c>
      <c r="E16" s="17" t="n">
        <v>0.55</v>
      </c>
    </row>
    <row r="17" customFormat="false" ht="15" hidden="false" customHeight="false" outlineLevel="0" collapsed="false">
      <c r="A17" s="14" t="str">
        <f aca="false">B17&amp;"-"&amp;C17</f>
        <v>IF2-8</v>
      </c>
      <c r="B17" s="14" t="s">
        <v>119</v>
      </c>
      <c r="C17" s="14" t="n">
        <v>8</v>
      </c>
      <c r="D17" s="17" t="n">
        <v>0.7</v>
      </c>
      <c r="E17" s="17" t="n">
        <v>0.65</v>
      </c>
    </row>
    <row r="18" customFormat="false" ht="15" hidden="false" customHeight="false" outlineLevel="0" collapsed="false">
      <c r="A18" s="14" t="str">
        <f aca="false">B18&amp;"-"&amp;C18</f>
        <v>IF3-1</v>
      </c>
      <c r="B18" s="14" t="s">
        <v>120</v>
      </c>
      <c r="C18" s="14" t="n">
        <v>1</v>
      </c>
      <c r="D18" s="17" t="n">
        <v>0.65</v>
      </c>
      <c r="E18" s="17" t="n">
        <v>0.5</v>
      </c>
    </row>
    <row r="19" customFormat="false" ht="15" hidden="false" customHeight="false" outlineLevel="0" collapsed="false">
      <c r="A19" s="14" t="str">
        <f aca="false">B19&amp;"-"&amp;C19</f>
        <v>IF3-2</v>
      </c>
      <c r="B19" s="14" t="s">
        <v>120</v>
      </c>
      <c r="C19" s="14" t="n">
        <v>2</v>
      </c>
      <c r="D19" s="17" t="n">
        <v>0.7</v>
      </c>
      <c r="E19" s="17" t="n">
        <v>0.55</v>
      </c>
    </row>
    <row r="20" customFormat="false" ht="15" hidden="false" customHeight="false" outlineLevel="0" collapsed="false">
      <c r="A20" s="14" t="str">
        <f aca="false">B20&amp;"-"&amp;C20</f>
        <v>IF3-3</v>
      </c>
      <c r="B20" s="14" t="s">
        <v>120</v>
      </c>
      <c r="C20" s="14" t="n">
        <v>3</v>
      </c>
      <c r="D20" s="17" t="n">
        <v>0.75</v>
      </c>
      <c r="E20" s="17" t="n">
        <v>0.65</v>
      </c>
    </row>
    <row r="21" customFormat="false" ht="15" hidden="false" customHeight="false" outlineLevel="0" collapsed="false">
      <c r="A21" s="14" t="str">
        <f aca="false">B21&amp;"-"&amp;C21</f>
        <v>IF3-4</v>
      </c>
      <c r="B21" s="14" t="s">
        <v>120</v>
      </c>
      <c r="C21" s="14" t="n">
        <v>4</v>
      </c>
      <c r="D21" s="17" t="n">
        <v>0.65</v>
      </c>
      <c r="E21" s="17" t="n">
        <v>0.55</v>
      </c>
    </row>
    <row r="22" customFormat="false" ht="15" hidden="false" customHeight="false" outlineLevel="0" collapsed="false">
      <c r="A22" s="14" t="str">
        <f aca="false">B22&amp;"-"&amp;C22</f>
        <v>IF3-5</v>
      </c>
      <c r="B22" s="14" t="s">
        <v>120</v>
      </c>
      <c r="C22" s="14" t="n">
        <v>5</v>
      </c>
      <c r="D22" s="17" t="n">
        <v>0.7</v>
      </c>
      <c r="E22" s="17" t="n">
        <v>0.65</v>
      </c>
    </row>
    <row r="23" customFormat="false" ht="15" hidden="false" customHeight="false" outlineLevel="0" collapsed="false">
      <c r="A23" s="14" t="str">
        <f aca="false">B23&amp;"-"&amp;C23</f>
        <v>IF3-6</v>
      </c>
      <c r="B23" s="14" t="s">
        <v>120</v>
      </c>
      <c r="C23" s="14" t="n">
        <v>6</v>
      </c>
      <c r="D23" s="17" t="n">
        <v>0.75</v>
      </c>
      <c r="E23" s="17" t="n">
        <v>0.5</v>
      </c>
    </row>
    <row r="24" customFormat="false" ht="15" hidden="false" customHeight="false" outlineLevel="0" collapsed="false">
      <c r="A24" s="14" t="str">
        <f aca="false">B24&amp;"-"&amp;C24</f>
        <v>IF3-7</v>
      </c>
      <c r="B24" s="14" t="s">
        <v>120</v>
      </c>
      <c r="C24" s="14" t="n">
        <v>7</v>
      </c>
      <c r="D24" s="17" t="n">
        <v>0.7</v>
      </c>
      <c r="E24" s="17" t="n">
        <v>0.5</v>
      </c>
    </row>
    <row r="25" customFormat="false" ht="15" hidden="false" customHeight="false" outlineLevel="0" collapsed="false">
      <c r="A25" s="14" t="str">
        <f aca="false">B25&amp;"-"&amp;C25</f>
        <v>IF3-8</v>
      </c>
      <c r="B25" s="14" t="s">
        <v>120</v>
      </c>
      <c r="C25" s="14" t="n">
        <v>8</v>
      </c>
      <c r="D25" s="17" t="n">
        <v>0.75</v>
      </c>
      <c r="E25" s="17" t="n">
        <v>0.55</v>
      </c>
    </row>
    <row r="27" customFormat="false" ht="15" hidden="false" customHeight="false" outlineLevel="0" collapsed="false">
      <c r="A27" s="9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2026-10-02T10:53:05Z</dcterms:created>
  <dc:creator>openpyxl</dc:creator>
  <dc:description/>
  <dc:language>en-US</dc:language>
  <cp:lastModifiedBy/>
  <dcterms:modified xsi:type="dcterms:W3CDTF">2026-10-02T10:53:05Z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